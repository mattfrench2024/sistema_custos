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heus.franca\sistema-custos\sistema\"/>
    </mc:Choice>
  </mc:AlternateContent>
  <xr:revisionPtr revIDLastSave="0" documentId="8_{93814167-22FA-4B1E-AA5E-1B1C5882D094}" xr6:coauthVersionLast="47" xr6:coauthVersionMax="47" xr10:uidLastSave="{00000000-0000-0000-0000-000000000000}"/>
  <bookViews>
    <workbookView xWindow="-120" yWindow="-120" windowWidth="20730" windowHeight="11160" xr2:uid="{17726AB4-885E-4851-90FF-92ED186C71AA}"/>
  </bookViews>
  <sheets>
    <sheet name="Utilities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2" l="1"/>
  <c r="B42" i="1"/>
  <c r="C41" i="1" s="1"/>
  <c r="E28" i="1"/>
  <c r="F28" i="1"/>
  <c r="G28" i="1"/>
  <c r="C39" i="1" l="1"/>
  <c r="C40" i="1"/>
  <c r="D27" i="1"/>
  <c r="D28" i="1" s="1"/>
  <c r="E30" i="1" l="1"/>
  <c r="E29" i="1"/>
  <c r="C28" i="1"/>
  <c r="D29" i="1" s="1"/>
  <c r="D30" i="1" l="1"/>
  <c r="F29" i="1"/>
  <c r="G29" i="1"/>
</calcChain>
</file>

<file path=xl/sharedStrings.xml><?xml version="1.0" encoding="utf-8"?>
<sst xmlns="http://schemas.openxmlformats.org/spreadsheetml/2006/main" count="76" uniqueCount="55">
  <si>
    <t>Total Geral</t>
  </si>
  <si>
    <t>Wedoo</t>
  </si>
  <si>
    <t>Cobmais</t>
  </si>
  <si>
    <t>Lemit</t>
  </si>
  <si>
    <t>Olos</t>
  </si>
  <si>
    <t>Atto</t>
  </si>
  <si>
    <t>KingHost</t>
  </si>
  <si>
    <t>INFOMACH SERVIÇOS E TECNOLOGIA LTDA</t>
  </si>
  <si>
    <t>SOLIDES</t>
  </si>
  <si>
    <t>INGRAM MICRO BRASIL LTDA</t>
  </si>
  <si>
    <t>SOLUBOX IT SERVICES</t>
  </si>
  <si>
    <t>Pago ago</t>
  </si>
  <si>
    <t>Pago set</t>
  </si>
  <si>
    <t>Pago out</t>
  </si>
  <si>
    <t>Pago nov</t>
  </si>
  <si>
    <t>Pago dez</t>
  </si>
  <si>
    <t>Aurum / Themis</t>
  </si>
  <si>
    <t>Vivo Internet</t>
  </si>
  <si>
    <t>Vogel Internet</t>
  </si>
  <si>
    <t>Categoria</t>
  </si>
  <si>
    <t>ALTERDATA PARCELAMENTO</t>
  </si>
  <si>
    <t>Grupo Sigavox</t>
  </si>
  <si>
    <t>AJUSTES</t>
  </si>
  <si>
    <t>OK</t>
  </si>
  <si>
    <t>Leaf</t>
  </si>
  <si>
    <t>Ligar para Themis</t>
  </si>
  <si>
    <t xml:space="preserve">OMIEXPERIENCE LTDA. </t>
  </si>
  <si>
    <t>OK - UNIFICADO PARA A Marka</t>
  </si>
  <si>
    <t>OK - Unificada</t>
  </si>
  <si>
    <t>BRASOFTWARE INFORMATICA LTDA</t>
  </si>
  <si>
    <t>Vivo Acordo</t>
  </si>
  <si>
    <t>Vivo Silvia</t>
  </si>
  <si>
    <t>Vivo Cel Rodrigo GV</t>
  </si>
  <si>
    <t>Certificado Digtal</t>
  </si>
  <si>
    <t>Unipix SMS</t>
  </si>
  <si>
    <t>R$ Redução</t>
  </si>
  <si>
    <t>% Redução</t>
  </si>
  <si>
    <t>HeadSet</t>
  </si>
  <si>
    <t>MANHA</t>
  </si>
  <si>
    <t>TARDE</t>
  </si>
  <si>
    <t>INTEGRAL</t>
  </si>
  <si>
    <t>CLT</t>
  </si>
  <si>
    <t xml:space="preserve"> Whatsapp</t>
  </si>
  <si>
    <t>Uni__Short_Massivo</t>
  </si>
  <si>
    <t>101__Inteligente__Verreschi</t>
  </si>
  <si>
    <t>101__VNX__BLM_Premium</t>
  </si>
  <si>
    <t>101__Interconexao__ESM__ATTO</t>
  </si>
  <si>
    <t>101_Direto__Interconexao__ESM_</t>
  </si>
  <si>
    <t>101__VNX__BLM__3</t>
  </si>
  <si>
    <t>PABX_Virtual__VNX__ITX_VitalPBX</t>
  </si>
  <si>
    <t>Unificada__0800</t>
  </si>
  <si>
    <t>0800_888_1124</t>
  </si>
  <si>
    <t>Unificada__0800__2</t>
  </si>
  <si>
    <t>Mensalidade_PABX</t>
  </si>
  <si>
    <t xml:space="preserve">Vonex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</si>
</sst>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1" applyNumberFormat="1" applyFont="1"/>
    <xf numFmtId="4" fontId="2" fillId="0" borderId="0" xfId="0" applyNumberFormat="1" applyFont="1"/>
    <xf numFmtId="4" fontId="3" fillId="2" borderId="1" xfId="0" applyNumberFormat="1" applyFont="1" applyFill="1" applyBorder="1" applyAlignment="1">
      <alignment horizontal="center"/>
    </xf>
    <xf numFmtId="4" fontId="0" fillId="3" borderId="2" xfId="0" applyNumberForma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64" fontId="0" fillId="0" borderId="0" xfId="0" applyNumberFormat="1"/>
    <xf numFmtId="4" fontId="5" fillId="3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4" fontId="2" fillId="4" borderId="2" xfId="0" applyNumberFormat="1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center"/>
    </xf>
    <xf numFmtId="4" fontId="4" fillId="3" borderId="2" xfId="0" applyNumberFormat="1" applyFont="1" applyFill="1" applyBorder="1" applyAlignment="1">
      <alignment horizontal="center"/>
    </xf>
    <xf numFmtId="0" fontId="0" fillId="4" borderId="2" xfId="0" applyFill="1" applyBorder="1"/>
    <xf numFmtId="4" fontId="0" fillId="3" borderId="2" xfId="0" applyNumberFormat="1" applyFill="1" applyBorder="1"/>
    <xf numFmtId="4" fontId="3" fillId="0" borderId="2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4" fontId="2" fillId="3" borderId="5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10" fontId="0" fillId="0" borderId="0" xfId="1" applyNumberFormat="1" applyFont="1"/>
    <xf numFmtId="4" fontId="3" fillId="0" borderId="6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5" fillId="3" borderId="7" xfId="0" applyNumberFormat="1" applyFont="1" applyFill="1" applyBorder="1" applyAlignment="1">
      <alignment horizontal="center"/>
    </xf>
    <xf numFmtId="4" fontId="5" fillId="3" borderId="6" xfId="0" applyNumberFormat="1" applyFont="1" applyFill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left"/>
    </xf>
    <xf numFmtId="4" fontId="3" fillId="0" borderId="2" xfId="0" applyNumberFormat="1" applyFont="1" applyBorder="1" applyAlignment="1">
      <alignment horizontal="center"/>
    </xf>
    <xf numFmtId="3" fontId="0" fillId="0" borderId="0" xfId="0" applyNumberFormat="1"/>
    <xf numFmtId="9" fontId="0" fillId="0" borderId="0" xfId="0" applyNumberFormat="1" applyAlignment="1">
      <alignment horizontal="center"/>
    </xf>
    <xf numFmtId="4" fontId="4" fillId="5" borderId="3" xfId="0" applyNumberFormat="1" applyFont="1" applyFill="1" applyBorder="1" applyAlignment="1">
      <alignment horizontal="center"/>
    </xf>
    <xf numFmtId="4" fontId="4" fillId="6" borderId="2" xfId="0" applyNumberFormat="1" applyFont="1" applyFill="1" applyBorder="1" applyAlignment="1">
      <alignment horizontal="center"/>
    </xf>
    <xf numFmtId="4" fontId="4" fillId="5" borderId="2" xfId="0" applyNumberFormat="1" applyFont="1" applyFill="1" applyBorder="1" applyAlignment="1">
      <alignment horizontal="center"/>
    </xf>
    <xf numFmtId="4" fontId="4" fillId="5" borderId="5" xfId="0" applyNumberFormat="1" applyFont="1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DAD9-A48D-4639-944C-6675CBB85024}">
  <dimension ref="A1:M42"/>
  <sheetViews>
    <sheetView showGridLines="0" tabSelected="1" zoomScaleNormal="100" workbookViewId="0">
      <selection sqref="A1:XFD1"/>
    </sheetView>
  </sheetViews>
  <sheetFormatPr defaultColWidth="9.125" defaultRowHeight="14.25"/>
  <cols>
    <col min="1" max="1" width="38.25" style="1" bestFit="1" customWidth="1"/>
    <col min="2" max="2" width="28.125" style="1" bestFit="1" customWidth="1"/>
    <col min="3" max="3" width="13.875" style="2" customWidth="1"/>
    <col min="4" max="4" width="14.375" style="2" bestFit="1" customWidth="1"/>
    <col min="5" max="5" width="13.625" style="2" bestFit="1" customWidth="1"/>
    <col min="6" max="6" width="11.25" style="2" bestFit="1" customWidth="1"/>
    <col min="7" max="7" width="17.625" style="2" customWidth="1"/>
    <col min="8" max="8" width="9.125" style="1"/>
    <col min="9" max="9" width="13.25" style="1" bestFit="1" customWidth="1"/>
    <col min="10" max="10" width="9.125" style="1"/>
    <col min="11" max="11" width="11.75" style="1" bestFit="1" customWidth="1"/>
    <col min="12" max="16384" width="9.125" style="1"/>
  </cols>
  <sheetData>
    <row r="1" spans="1:13" ht="16.5" thickBot="1">
      <c r="A1" s="27" t="s">
        <v>19</v>
      </c>
      <c r="B1" s="28" t="s">
        <v>22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</row>
    <row r="2" spans="1:13" ht="15.75">
      <c r="A2" s="29" t="s">
        <v>37</v>
      </c>
      <c r="B2" s="30"/>
      <c r="C2" s="10"/>
      <c r="D2" s="33">
        <v>708</v>
      </c>
      <c r="E2" s="33">
        <v>1000</v>
      </c>
      <c r="F2" s="33">
        <v>1000</v>
      </c>
      <c r="G2" s="33">
        <v>1000</v>
      </c>
    </row>
    <row r="3" spans="1:13" ht="15">
      <c r="A3" s="6" t="s">
        <v>33</v>
      </c>
      <c r="B3" s="15" t="s">
        <v>23</v>
      </c>
      <c r="C3" s="10">
        <v>119.9</v>
      </c>
      <c r="D3" s="33">
        <v>119.9</v>
      </c>
      <c r="E3" s="33">
        <v>119.9</v>
      </c>
      <c r="F3" s="33">
        <v>119.9</v>
      </c>
      <c r="G3" s="33">
        <v>119.9</v>
      </c>
    </row>
    <row r="4" spans="1:13" ht="15">
      <c r="A4" s="6" t="s">
        <v>42</v>
      </c>
      <c r="B4" s="15" t="s">
        <v>23</v>
      </c>
      <c r="C4" s="11">
        <v>72298.5</v>
      </c>
      <c r="D4" s="33">
        <v>59708.33</v>
      </c>
      <c r="E4" s="33">
        <v>70000</v>
      </c>
      <c r="F4" s="33">
        <v>58708.68</v>
      </c>
      <c r="G4" s="33">
        <v>60000</v>
      </c>
      <c r="I4" s="3"/>
    </row>
    <row r="5" spans="1:13" ht="15">
      <c r="A5" s="6" t="s">
        <v>1</v>
      </c>
      <c r="B5" s="15" t="s">
        <v>23</v>
      </c>
      <c r="C5" s="12">
        <v>25219.200000000001</v>
      </c>
      <c r="D5" s="34">
        <v>25219.200000000001</v>
      </c>
      <c r="E5" s="34">
        <v>25219.200000000001</v>
      </c>
      <c r="F5" s="34">
        <v>25219.200000000001</v>
      </c>
      <c r="G5" s="34">
        <v>25219.200000000001</v>
      </c>
      <c r="I5" s="3"/>
    </row>
    <row r="6" spans="1:13" ht="15">
      <c r="A6" s="6" t="s">
        <v>24</v>
      </c>
      <c r="B6" s="15" t="s">
        <v>23</v>
      </c>
      <c r="C6" s="13">
        <v>933</v>
      </c>
      <c r="D6" s="35">
        <v>933</v>
      </c>
      <c r="E6" s="35">
        <v>1000</v>
      </c>
      <c r="F6" s="35">
        <v>1000</v>
      </c>
      <c r="G6" s="35">
        <v>1000</v>
      </c>
      <c r="I6" s="3"/>
    </row>
    <row r="7" spans="1:13" ht="15">
      <c r="A7" s="6" t="s">
        <v>16</v>
      </c>
      <c r="B7" s="15" t="s">
        <v>25</v>
      </c>
      <c r="C7" s="12">
        <v>3899.42</v>
      </c>
      <c r="D7" s="34">
        <v>3899.42</v>
      </c>
      <c r="E7" s="34">
        <v>3899.42</v>
      </c>
      <c r="F7" s="34">
        <v>3899.42</v>
      </c>
      <c r="G7" s="34">
        <v>3899.42</v>
      </c>
      <c r="I7" s="3"/>
      <c r="M7" s="9"/>
    </row>
    <row r="8" spans="1:13" ht="15">
      <c r="A8" s="6" t="s">
        <v>2</v>
      </c>
      <c r="B8" s="15" t="s">
        <v>23</v>
      </c>
      <c r="C8" s="13">
        <v>3014.2</v>
      </c>
      <c r="D8" s="35">
        <v>3014.2</v>
      </c>
      <c r="E8" s="35">
        <v>3014.2</v>
      </c>
      <c r="F8" s="35">
        <v>3014.2</v>
      </c>
      <c r="G8" s="35">
        <v>3014</v>
      </c>
      <c r="I8" s="3"/>
    </row>
    <row r="9" spans="1:13" ht="15">
      <c r="A9" s="6" t="s">
        <v>3</v>
      </c>
      <c r="B9" s="15" t="s">
        <v>23</v>
      </c>
      <c r="C9" s="14">
        <v>3563.88</v>
      </c>
      <c r="D9" s="35">
        <v>2666.64</v>
      </c>
      <c r="E9" s="35">
        <v>3300</v>
      </c>
      <c r="F9" s="35">
        <v>3000</v>
      </c>
      <c r="G9" s="35">
        <v>3000</v>
      </c>
      <c r="I9" s="3"/>
    </row>
    <row r="10" spans="1:13" ht="15">
      <c r="A10" s="6" t="s">
        <v>17</v>
      </c>
      <c r="B10" s="16" t="s">
        <v>23</v>
      </c>
      <c r="C10" s="13">
        <v>1512.2</v>
      </c>
      <c r="D10" s="35">
        <v>1512.2</v>
      </c>
      <c r="E10" s="35">
        <v>1512.2</v>
      </c>
      <c r="F10" s="35">
        <v>1512.2</v>
      </c>
      <c r="G10" s="35">
        <v>1512.2</v>
      </c>
      <c r="I10" s="3"/>
    </row>
    <row r="11" spans="1:13" ht="15">
      <c r="A11" s="6" t="s">
        <v>32</v>
      </c>
      <c r="B11" s="16" t="s">
        <v>23</v>
      </c>
      <c r="C11" s="13">
        <v>0</v>
      </c>
      <c r="D11" s="35">
        <v>621.11</v>
      </c>
      <c r="E11" s="35">
        <v>621.11</v>
      </c>
      <c r="F11" s="35">
        <v>621.11</v>
      </c>
      <c r="G11" s="35">
        <v>621.11</v>
      </c>
      <c r="I11" s="3"/>
    </row>
    <row r="12" spans="1:13" ht="15">
      <c r="A12" s="6" t="s">
        <v>31</v>
      </c>
      <c r="B12" s="16" t="s">
        <v>23</v>
      </c>
      <c r="C12" s="13">
        <v>0</v>
      </c>
      <c r="D12" s="35">
        <v>583.42999999999995</v>
      </c>
      <c r="E12" s="35">
        <v>583.42999999999995</v>
      </c>
      <c r="F12" s="35">
        <v>583.42999999999995</v>
      </c>
      <c r="G12" s="35">
        <v>583.42999999999995</v>
      </c>
      <c r="I12" s="3"/>
    </row>
    <row r="13" spans="1:13" ht="15">
      <c r="A13" s="6" t="s">
        <v>30</v>
      </c>
      <c r="B13" s="16" t="s">
        <v>23</v>
      </c>
      <c r="C13" s="13">
        <v>0</v>
      </c>
      <c r="D13" s="35">
        <v>1440</v>
      </c>
      <c r="E13" s="35">
        <v>1440</v>
      </c>
      <c r="F13" s="35">
        <v>0</v>
      </c>
      <c r="G13" s="35">
        <v>0</v>
      </c>
      <c r="I13" s="3"/>
    </row>
    <row r="14" spans="1:13" ht="15">
      <c r="A14" s="6" t="s">
        <v>18</v>
      </c>
      <c r="B14" s="16" t="s">
        <v>23</v>
      </c>
      <c r="C14" s="13">
        <v>1198.1300000000001</v>
      </c>
      <c r="D14" s="35">
        <v>1099</v>
      </c>
      <c r="E14" s="35">
        <v>1099</v>
      </c>
      <c r="F14" s="35">
        <v>1099</v>
      </c>
      <c r="G14" s="35">
        <v>1099</v>
      </c>
      <c r="I14" s="3"/>
    </row>
    <row r="15" spans="1:13" ht="15">
      <c r="A15" s="6" t="s">
        <v>4</v>
      </c>
      <c r="B15" s="16" t="s">
        <v>23</v>
      </c>
      <c r="C15" s="13">
        <v>27123.18</v>
      </c>
      <c r="D15" s="35">
        <v>21704.33</v>
      </c>
      <c r="E15" s="35">
        <v>17950</v>
      </c>
      <c r="F15" s="35">
        <v>13455.85</v>
      </c>
      <c r="G15" s="35">
        <v>13455.85</v>
      </c>
      <c r="I15" s="3"/>
    </row>
    <row r="16" spans="1:13" ht="15">
      <c r="A16" s="6" t="s">
        <v>5</v>
      </c>
      <c r="B16" s="16" t="s">
        <v>23</v>
      </c>
      <c r="C16" s="13">
        <v>29948.05</v>
      </c>
      <c r="D16" s="35">
        <v>31541.05</v>
      </c>
      <c r="E16" s="35">
        <v>31541.05</v>
      </c>
      <c r="F16" s="35">
        <v>35601.550000000003</v>
      </c>
      <c r="G16" s="35">
        <v>35601.550000000003</v>
      </c>
      <c r="I16" s="3"/>
    </row>
    <row r="17" spans="1:9" ht="15">
      <c r="A17" s="6" t="s">
        <v>34</v>
      </c>
      <c r="B17" s="16" t="s">
        <v>23</v>
      </c>
      <c r="C17" s="13">
        <v>2350</v>
      </c>
      <c r="D17" s="35">
        <v>195.19</v>
      </c>
      <c r="E17" s="35">
        <v>500</v>
      </c>
      <c r="F17" s="35">
        <v>500</v>
      </c>
      <c r="G17" s="35">
        <v>500</v>
      </c>
      <c r="I17" s="3"/>
    </row>
    <row r="18" spans="1:9" ht="15">
      <c r="A18" s="6" t="s">
        <v>6</v>
      </c>
      <c r="B18" s="16" t="s">
        <v>23</v>
      </c>
      <c r="C18" s="13">
        <v>235</v>
      </c>
      <c r="D18" s="35">
        <v>235</v>
      </c>
      <c r="E18" s="35">
        <v>235</v>
      </c>
      <c r="F18" s="35">
        <v>235</v>
      </c>
      <c r="G18" s="35">
        <v>235</v>
      </c>
      <c r="I18" s="3"/>
    </row>
    <row r="19" spans="1:9" ht="15">
      <c r="A19" s="7" t="s">
        <v>29</v>
      </c>
      <c r="B19" s="15" t="s">
        <v>23</v>
      </c>
      <c r="C19" s="13">
        <v>1141.44</v>
      </c>
      <c r="D19" s="35">
        <v>1141.44</v>
      </c>
      <c r="E19" s="35">
        <v>1141.44</v>
      </c>
      <c r="F19" s="35">
        <v>1141.44</v>
      </c>
      <c r="G19" s="35">
        <v>1141.44</v>
      </c>
      <c r="I19" s="3"/>
    </row>
    <row r="20" spans="1:9" ht="15">
      <c r="A20" s="8" t="s">
        <v>7</v>
      </c>
      <c r="B20" s="16" t="s">
        <v>23</v>
      </c>
      <c r="C20" s="13">
        <v>2827.54</v>
      </c>
      <c r="D20" s="35">
        <v>2827.54</v>
      </c>
      <c r="E20" s="35">
        <v>2827.54</v>
      </c>
      <c r="F20" s="35">
        <v>2827.54</v>
      </c>
      <c r="G20" s="35">
        <v>2827.54</v>
      </c>
      <c r="I20" s="3"/>
    </row>
    <row r="21" spans="1:9" ht="15">
      <c r="A21" s="7" t="s">
        <v>8</v>
      </c>
      <c r="B21" s="16" t="s">
        <v>23</v>
      </c>
      <c r="C21" s="13">
        <v>5197.84</v>
      </c>
      <c r="D21" s="35">
        <v>5197.84</v>
      </c>
      <c r="E21" s="35">
        <v>5197.84</v>
      </c>
      <c r="F21" s="35">
        <v>5197.84</v>
      </c>
      <c r="G21" s="35">
        <v>5197.84</v>
      </c>
      <c r="I21" s="3"/>
    </row>
    <row r="22" spans="1:9" ht="15">
      <c r="A22" s="7" t="s">
        <v>20</v>
      </c>
      <c r="B22" s="16" t="s">
        <v>23</v>
      </c>
      <c r="C22" s="13">
        <v>468.82</v>
      </c>
      <c r="D22" s="35">
        <v>468.82</v>
      </c>
      <c r="E22" s="35">
        <v>0</v>
      </c>
      <c r="F22" s="35">
        <v>0</v>
      </c>
      <c r="G22" s="35">
        <v>0</v>
      </c>
      <c r="I22" s="21"/>
    </row>
    <row r="23" spans="1:9" thickBot="1">
      <c r="A23" s="7" t="s">
        <v>9</v>
      </c>
      <c r="B23" s="16" t="s">
        <v>23</v>
      </c>
      <c r="C23" s="13">
        <v>10821.11</v>
      </c>
      <c r="D23" s="35">
        <v>0</v>
      </c>
      <c r="E23" s="35">
        <v>0</v>
      </c>
      <c r="F23" s="35">
        <v>0</v>
      </c>
      <c r="G23" s="35">
        <v>0</v>
      </c>
      <c r="I23" s="3"/>
    </row>
    <row r="24" spans="1:9" ht="15">
      <c r="A24" s="8" t="s">
        <v>10</v>
      </c>
      <c r="B24" s="16" t="s">
        <v>23</v>
      </c>
      <c r="C24" s="13">
        <v>2157.13</v>
      </c>
      <c r="D24" s="35">
        <v>0</v>
      </c>
      <c r="E24" s="35">
        <v>0</v>
      </c>
      <c r="F24" s="35">
        <v>0</v>
      </c>
      <c r="G24" s="35">
        <v>0</v>
      </c>
      <c r="I24" s="3"/>
    </row>
    <row r="25" spans="1:9" ht="15">
      <c r="A25" s="7" t="s">
        <v>26</v>
      </c>
      <c r="B25" s="16" t="s">
        <v>27</v>
      </c>
      <c r="C25" s="13">
        <v>2153.62</v>
      </c>
      <c r="D25" s="35">
        <v>600</v>
      </c>
      <c r="E25" s="35">
        <v>600</v>
      </c>
      <c r="F25" s="35">
        <v>600</v>
      </c>
      <c r="G25" s="35">
        <v>600</v>
      </c>
      <c r="I25" s="3"/>
    </row>
    <row r="26" spans="1:9" ht="15">
      <c r="A26" s="7" t="s">
        <v>21</v>
      </c>
      <c r="B26" s="15" t="s">
        <v>23</v>
      </c>
      <c r="C26" s="13">
        <v>53195.29</v>
      </c>
      <c r="D26" s="35">
        <v>65747.929999999993</v>
      </c>
      <c r="E26" s="35">
        <v>80000</v>
      </c>
      <c r="F26" s="35">
        <v>67010.36</v>
      </c>
      <c r="G26" s="35">
        <v>80000</v>
      </c>
      <c r="I26" s="3"/>
    </row>
    <row r="27" spans="1:9" ht="15.75" thickBot="1">
      <c r="A27" s="6" t="s">
        <v>54</v>
      </c>
      <c r="B27" s="16" t="s">
        <v>28</v>
      </c>
      <c r="C27" s="19">
        <v>56439.34</v>
      </c>
      <c r="D27" s="36">
        <f>30924.1+587.96+17+G27</f>
        <v>66529.06</v>
      </c>
      <c r="E27" s="36">
        <v>41802.870000000003</v>
      </c>
      <c r="F27" s="36">
        <v>43800</v>
      </c>
      <c r="G27" s="36">
        <v>35000</v>
      </c>
      <c r="I27" s="3"/>
    </row>
    <row r="28" spans="1:9" s="4" customFormat="1" ht="29.25" customHeight="1" thickBot="1">
      <c r="A28" s="17" t="s">
        <v>0</v>
      </c>
      <c r="B28" s="18"/>
      <c r="C28" s="22">
        <f>SUM(C4:C27)</f>
        <v>305696.89</v>
      </c>
      <c r="D28" s="20">
        <f>SUM(D2:D27)</f>
        <v>297712.63</v>
      </c>
      <c r="E28" s="20">
        <f>SUM(E2:E27)</f>
        <v>294604.2</v>
      </c>
      <c r="F28" s="20">
        <f>SUM(F2:F27)</f>
        <v>270146.71999999997</v>
      </c>
      <c r="G28" s="20">
        <f>SUM(G2:G27)</f>
        <v>275627.48</v>
      </c>
    </row>
    <row r="29" spans="1:9" ht="15.75" thickBot="1">
      <c r="C29" s="23" t="s">
        <v>35</v>
      </c>
      <c r="D29" s="24">
        <f>C28-D28</f>
        <v>7984.2600000000093</v>
      </c>
      <c r="E29" s="25">
        <f>E28-D28</f>
        <v>-3108.429999999993</v>
      </c>
      <c r="F29" s="25">
        <f>F28-E28</f>
        <v>-24457.48000000004</v>
      </c>
      <c r="G29" s="25">
        <f>G28-F28</f>
        <v>5480.7600000000093</v>
      </c>
    </row>
    <row r="30" spans="1:9" ht="15.75" thickBot="1">
      <c r="C30" s="23" t="s">
        <v>36</v>
      </c>
      <c r="D30" s="26">
        <f>D28/C28-100%</f>
        <v>-2.6118224493549835E-2</v>
      </c>
      <c r="E30" s="26">
        <f>E28/D28-100%</f>
        <v>-1.0441041752242697E-2</v>
      </c>
      <c r="F30" s="26"/>
      <c r="G30" s="26"/>
    </row>
    <row r="36" spans="1:4">
      <c r="B36" s="1">
        <v>198</v>
      </c>
    </row>
    <row r="39" spans="1:4">
      <c r="A39" s="1" t="s">
        <v>38</v>
      </c>
      <c r="B39" s="31">
        <v>74</v>
      </c>
      <c r="C39" s="32">
        <f>B39/B42</f>
        <v>0.37373737373737376</v>
      </c>
      <c r="D39" s="2" t="s">
        <v>41</v>
      </c>
    </row>
    <row r="40" spans="1:4">
      <c r="A40" s="1" t="s">
        <v>39</v>
      </c>
      <c r="B40" s="31">
        <v>54</v>
      </c>
      <c r="C40" s="32">
        <f>B40/B42</f>
        <v>0.27272727272727271</v>
      </c>
    </row>
    <row r="41" spans="1:4">
      <c r="A41" s="1" t="s">
        <v>40</v>
      </c>
      <c r="B41" s="31">
        <v>70</v>
      </c>
      <c r="C41" s="32">
        <f>B41/B42</f>
        <v>0.35353535353535354</v>
      </c>
    </row>
    <row r="42" spans="1:4">
      <c r="B42" s="31">
        <f>SUM(B39:B41)</f>
        <v>198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D250-00D8-43B2-9286-9771AAA3A57F}">
  <dimension ref="A1:B13"/>
  <sheetViews>
    <sheetView workbookViewId="0">
      <selection activeCell="E14" sqref="E14"/>
    </sheetView>
  </sheetViews>
  <sheetFormatPr defaultRowHeight="14.25"/>
  <cols>
    <col min="1" max="1" width="52" customWidth="1"/>
  </cols>
  <sheetData>
    <row r="1" spans="1:2">
      <c r="A1" s="39" t="s">
        <v>43</v>
      </c>
      <c r="B1">
        <v>214.34</v>
      </c>
    </row>
    <row r="2" spans="1:2">
      <c r="A2" s="39" t="s">
        <v>44</v>
      </c>
      <c r="B2">
        <v>58.97</v>
      </c>
    </row>
    <row r="3" spans="1:2">
      <c r="A3" s="39" t="s">
        <v>45</v>
      </c>
      <c r="B3" s="37">
        <v>37946.21</v>
      </c>
    </row>
    <row r="4" spans="1:2">
      <c r="A4" s="38" t="s">
        <v>46</v>
      </c>
      <c r="B4">
        <v>5.05</v>
      </c>
    </row>
    <row r="5" spans="1:2">
      <c r="A5" s="38" t="s">
        <v>47</v>
      </c>
      <c r="B5" s="37">
        <v>2692.87</v>
      </c>
    </row>
    <row r="6" spans="1:2">
      <c r="A6" s="38" t="s">
        <v>48</v>
      </c>
      <c r="B6">
        <v>10</v>
      </c>
    </row>
    <row r="7" spans="1:2">
      <c r="A7" s="38" t="s">
        <v>49</v>
      </c>
      <c r="B7" s="37">
        <v>37.35</v>
      </c>
    </row>
    <row r="8" spans="1:2">
      <c r="A8" s="38" t="s">
        <v>50</v>
      </c>
      <c r="B8">
        <v>672.3</v>
      </c>
    </row>
    <row r="9" spans="1:2">
      <c r="A9" s="38" t="s">
        <v>51</v>
      </c>
      <c r="B9" s="37">
        <v>6.24</v>
      </c>
    </row>
    <row r="10" spans="1:2">
      <c r="A10" s="38" t="s">
        <v>52</v>
      </c>
      <c r="B10">
        <v>227.72</v>
      </c>
    </row>
    <row r="11" spans="1:2">
      <c r="A11" s="38" t="s">
        <v>53</v>
      </c>
      <c r="B11" s="37">
        <v>1610</v>
      </c>
    </row>
    <row r="13" spans="1:2">
      <c r="B13">
        <f>SUM(B1:B12)</f>
        <v>43481.05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Utilities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Fonseca dos Santos</dc:creator>
  <cp:lastModifiedBy>Matheus Correia de França</cp:lastModifiedBy>
  <dcterms:created xsi:type="dcterms:W3CDTF">2025-08-28T14:30:43Z</dcterms:created>
  <dcterms:modified xsi:type="dcterms:W3CDTF">2025-12-02T10:50:01Z</dcterms:modified>
</cp:coreProperties>
</file>